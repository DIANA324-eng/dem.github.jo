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<sst xmlns="http://schemas.openxmlformats.org/spreadsheetml/2006/main" xmlns:a="http://schemas.openxmlformats.org/drawingml/2006/main" xmlns:a15="http://schemas.microsoft.com/office/drawing/2012/main" xmlns:asvg="http://schemas.microsoft.com/office/drawing/2016/SVG/main" xmlns:c="http://schemas.openxmlformats.org/drawingml/2006/chart" xmlns:co="http://ncloudtech.com" xmlns:co-ooxml="http://ncloudtech.com/ooxml" xmlns:m="http://schemas.openxmlformats.org/officeDocument/2006/math" xmlns:mc="http://schemas.openxmlformats.org/markup-compatibility/2006" xmlns:o="urn:schemas-microsoft-com:office:office" xmlns:p="http://schemas.openxmlformats.org/presentationml/2006/main" xmlns:pic="http://schemas.openxmlformats.org/drawingml/2006/picture" xmlns:r="http://schemas.openxmlformats.org/officeDocument/2006/relationships" xmlns:s="http://schemas.openxmlformats.org/officeDocument/2006/sharedTypes" xmlns:sl="http://schemas.openxmlformats.org/schemaLibrary/2006/main" xmlns:v="urn:schemas-microsoft-com:vml" xmlns:w="http://schemas.openxmlformats.org/wordprocessingml/2006/main" xmlns:w10="urn:schemas-microsoft-com:office:word" xmlns:w14="http://schemas.microsoft.com/office/word/2010/wordml" xmlns:w15="http://schemas.microsoft.com/office/word/2012/wordml" xmlns:wp="http://schemas.openxmlformats.org/drawingml/2006/wordprocessingDrawing" xmlns:wpg="http://schemas.microsoft.com/office/word/2010/wordprocessingGroup" xmlns:wps="http://schemas.microsoft.com/office/word/2010/wordprocessingShape" xmlns:x="urn:schemas-microsoft-com:office:excel" xmlns:x12ac="http://schemas.microsoft.com/office/spreadsheetml/2011/1/ac" xmlns:x14="http://schemas.microsoft.com/office/spreadsheetml/2009/9/main" xmlns:xdr="http://schemas.openxmlformats.org/drawingml/2006/spreadsheetDrawing" xmlns:xm="http://schemas.microsoft.com/office/excel/2006/main" mc:Ignorable="co co-ooxml w14 x14 w15">
  <si>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</si>
  <si>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</si>
  <si>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</si>
  <si>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</si>
  <si>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t>статистическая функция</t>
  </si>
  <si>
    <t>среднее значение</t>
  </si>
  <si>
    <t>минимальное</t>
  </si>
  <si>
    <t>мелиана</t>
  </si>
  <si>
    <t>мода</t>
  </si>
  <si>
    <t>дисперсия</t>
  </si>
  <si>
    <t>~55,92</t>
  </si>
  <si>
    <r>
      <rPr>
        <rFont val="system-ui"/>
        <b val="false"/>
        <i val="false"/>
        <color rgb="1D1D1F" tint="0"/>
        <sz val="10.5"/>
      </rPr>
      <t>Колледж</t>
    </r>
  </si>
  <si>
    <r>
      <rPr>
        <rFont val="system-ui"/>
        <b val="false"/>
        <i val="false"/>
        <color rgb="1D1D1F" tint="0"/>
        <sz val="10.5"/>
      </rPr>
      <t>Колледж №1</t>
    </r>
  </si>
  <si>
    <r>
      <rPr>
        <rFont val="system-ui"/>
        <b val="false"/>
        <i val="false"/>
        <color rgb="1D1D1F" tint="0"/>
        <sz val="10.5"/>
      </rPr>
      <t>Колледж №2</t>
    </r>
  </si>
  <si>
    <t>Колледж №3</t>
  </si>
  <si>
    <t>Колледж №4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</si>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</sst>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" formatCode="#,##0" numFmtId="1000"/>
  </numFmts>
  <fonts count="3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0.5"/>
    </font>
  </fonts>
  <fills count="5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Alignment="true" applyBorder="false" applyFill="true" applyFont="true" borderId="0" fillId="2" fontId="2" numFmtId="0" quotePrefix="false">
      <alignment horizontal="left" indent="0"/>
    </xf>
    <xf applyAlignment="true" applyBorder="false" applyFill="true" applyFont="true" borderId="0" fillId="3" fontId="2" numFmtId="0" quotePrefix="false">
      <alignment horizontal="left" indent="1"/>
    </xf>
    <xf applyAlignment="true" applyBorder="false" applyFill="true" applyFont="true" borderId="0" fillId="4" fontId="2" numFmtId="0" quotePrefix="false">
      <alignment horizontal="left" indent="1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cked"/>
        <c:ser>
          <c:idx val="0"/>
          <c:order val="0"/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'Лист5'!A1:A6</c:f>
            </c:strRef>
          </c:cat>
          <c:val>
            <c:numRef>
              <c:f>'Лист5'!B1:B6</c:f>
            </c:numRef>
          </c:val>
          <c:smooth val="false"/>
        </c:ser>
        <c:ser>
          <c:idx val="1"/>
          <c:order val="1"/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'Лист5'!A1:A6</c:f>
            </c:strRef>
          </c:cat>
          <c:val>
            <c:numRef>
              <c:f>'Лист5'!C1:C6</c:f>
            </c:numRef>
          </c:val>
          <c:smooth val="false"/>
        </c:ser>
        <c:ser>
          <c:idx val="2"/>
          <c:order val="2"/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'Лист5'!A1:A6</c:f>
            </c:strRef>
          </c:cat>
          <c:val>
            <c:numRef>
              <c:f>'Лист5'!D1:D6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00025" y="16478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4.878046915533805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2^(N2+1)-1</f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011084614048201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341461599192197"/>
    <col customWidth="true" max="2" min="2" outlineLevel="0" width="11.97339015963705"/>
    <col customWidth="true" max="3" min="3" outlineLevel="0" width="13.158314001867932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'Лист1'!$A$1:$C$25, 2, 0)</f>
        <v>1</v>
      </c>
      <c r="C2" s="0" t="n">
        <v>1</v>
      </c>
    </row>
    <row outlineLevel="0" r="3">
      <c r="A3" s="0" t="n">
        <v>1</v>
      </c>
      <c r="B3" s="0" t="n">
        <f aca="false" ca="false" dt2D="false" dtr="false" t="normal">VLOOKUP(A3, 'Лист1'!$A$1:$C$25, 2, 0)</f>
        <v>3</v>
      </c>
      <c r="C3" s="0" t="n">
        <v>4</v>
      </c>
    </row>
    <row outlineLevel="0" r="4">
      <c r="A4" s="0" t="n">
        <v>2</v>
      </c>
      <c r="B4" s="0" t="n">
        <f aca="false" ca="false" dt2D="false" dtr="false" t="normal">VLOOKUP(A4, 'Лист1'!$A$1:$C$25,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'Лист1'!$A$1:$C$25,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'Лист1'!$A$1:$C$25,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'Лист1'!$A$1:$C$25,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'Лист1'!$A$1:$C$25, 2, 0)</f>
        <v>127</v>
      </c>
      <c r="C8" s="1" t="n">
        <v>1093</v>
      </c>
    </row>
    <row outlineLevel="0" r="9">
      <c r="A9" s="0" t="n">
        <v>7</v>
      </c>
      <c r="B9" s="0" t="n">
        <f aca="false" ca="false" dt2D="false" dtr="false" t="normal">VLOOKUP(A9, 'Лист1'!$A$1:$C$25, 2, 0)</f>
        <v>255</v>
      </c>
      <c r="C9" s="1" t="n">
        <v>3280</v>
      </c>
    </row>
    <row outlineLevel="0" r="10">
      <c r="A10" s="0" t="n">
        <v>8</v>
      </c>
      <c r="B10" s="0" t="n">
        <f aca="false" ca="false" dt2D="false" dtr="false" t="normal">VLOOKUP(A10, 'Лист1'!$A$1:$C$25, 2, 0)</f>
        <v>511</v>
      </c>
      <c r="C10" s="1" t="n">
        <v>9841</v>
      </c>
    </row>
    <row outlineLevel="0" r="11">
      <c r="A11" s="0" t="n">
        <v>9</v>
      </c>
      <c r="B11" s="0" t="n">
        <f aca="false" ca="false" dt2D="false" dtr="false" t="normal">VLOOKUP(A11, 'Лист1'!$A$1:$C$25, 2, 0)</f>
        <v>1023</v>
      </c>
      <c r="C11" s="1" t="n">
        <v>29524</v>
      </c>
    </row>
    <row outlineLevel="0" r="12">
      <c r="A12" s="0" t="n">
        <v>10</v>
      </c>
      <c r="B12" s="0" t="n">
        <f aca="false" ca="false" dt2D="false" dtr="false" t="normal">VLOOKUP(A12, 'Лист1'!$A$1:$C$25, 2, 0)</f>
        <v>2047</v>
      </c>
      <c r="C12" s="1" t="n">
        <v>88573</v>
      </c>
    </row>
    <row outlineLevel="0" r="13">
      <c r="A13" s="0" t="n">
        <v>11</v>
      </c>
      <c r="B13" s="0" t="n">
        <f aca="false" ca="false" dt2D="false" dtr="false" t="normal">VLOOKUP(A13, 'Лист1'!$A$1:$C$25, 2, 0)</f>
        <v>4095</v>
      </c>
      <c r="C13" s="1" t="n">
        <v>265720</v>
      </c>
    </row>
    <row outlineLevel="0" r="14">
      <c r="A14" s="0" t="n">
        <v>12</v>
      </c>
      <c r="B14" s="0" t="n">
        <f aca="false" ca="false" dt2D="false" dtr="false" t="normal">VLOOKUP(A14, 'Лист1'!$A$1:$C$25, 2, 0)</f>
        <v>8191</v>
      </c>
      <c r="C14" s="1" t="n">
        <v>797161</v>
      </c>
    </row>
    <row outlineLevel="0" r="15">
      <c r="A15" s="0" t="n">
        <v>13</v>
      </c>
      <c r="B15" s="0" t="n">
        <f aca="false" ca="false" dt2D="false" dtr="false" t="normal">VLOOKUP(A15, 'Лист1'!$A$1:$C$25, 2, 0)</f>
        <v>16383</v>
      </c>
      <c r="C15" s="1" t="n">
        <v>2391484</v>
      </c>
    </row>
    <row outlineLevel="0" r="16">
      <c r="A16" s="0" t="n">
        <v>14</v>
      </c>
      <c r="B16" s="0" t="n">
        <f aca="false" ca="false" dt2D="false" dtr="false" t="normal">VLOOKUP(A16, 'Лист1'!$A$1:$C$25, 2, 0)</f>
        <v>32767</v>
      </c>
      <c r="C16" s="1" t="n">
        <v>7174453</v>
      </c>
    </row>
    <row outlineLevel="0" r="17">
      <c r="A17" s="0" t="n">
        <v>15</v>
      </c>
      <c r="B17" s="0" t="n">
        <f aca="false" ca="false" dt2D="false" dtr="false" t="normal">VLOOKUP(A17, 'Лист1'!$A$1:$C$25, 2, 0)</f>
        <v>65535</v>
      </c>
      <c r="C17" s="1" t="n">
        <v>21523360</v>
      </c>
    </row>
    <row outlineLevel="0" r="18">
      <c r="A18" s="0" t="n">
        <v>16</v>
      </c>
      <c r="B18" s="0" t="n">
        <f aca="false" ca="false" dt2D="false" dtr="false" t="normal">VLOOKUP(A18, 'Лист1'!$A$1:$C$25, 2, 0)</f>
        <v>131071</v>
      </c>
      <c r="C18" s="1" t="n">
        <v>64570081</v>
      </c>
    </row>
    <row outlineLevel="0" r="19">
      <c r="A19" s="0" t="n">
        <v>17</v>
      </c>
      <c r="B19" s="0" t="n">
        <f aca="false" ca="false" dt2D="false" dtr="false" t="normal">VLOOKUP(A19, 'Лист1'!$A$1:$C$25, 2, 0)</f>
        <v>262143</v>
      </c>
      <c r="C19" s="1" t="n">
        <v>193710244</v>
      </c>
    </row>
    <row outlineLevel="0" r="20">
      <c r="A20" s="0" t="n">
        <v>18</v>
      </c>
      <c r="B20" s="0" t="n">
        <f aca="false" ca="false" dt2D="false" dtr="false" t="normal">VLOOKUP(A20, 'Лист1'!$A$1:$C$25, 2, 0)</f>
        <v>524287</v>
      </c>
      <c r="C20" s="1" t="n">
        <v>581130733</v>
      </c>
    </row>
    <row outlineLevel="0" r="21">
      <c r="A21" s="0" t="n">
        <v>19</v>
      </c>
      <c r="B21" s="0" t="n">
        <f aca="false" ca="false" dt2D="false" dtr="false" t="normal">VLOOKUP(A21, 'Лист1'!$A$1:$C$25, 2, 0)</f>
        <v>1048575</v>
      </c>
      <c r="C21" s="1" t="n">
        <v>1743392200</v>
      </c>
    </row>
    <row outlineLevel="0" r="22">
      <c r="A22" s="0" t="n">
        <v>20</v>
      </c>
      <c r="B22" s="0" t="n">
        <f aca="false" ca="false" dt2D="false" dtr="false" t="normal">VLOOKUP(A22, 'Лист1'!$A$1:$C$25, 2, 0)</f>
        <v>2097151</v>
      </c>
      <c r="C22" s="1" t="n">
        <v>5230176601</v>
      </c>
    </row>
    <row outlineLevel="0" r="23">
      <c r="A23" s="0" t="n">
        <v>21</v>
      </c>
      <c r="B23" s="0" t="n">
        <f aca="false" ca="false" dt2D="false" dtr="false" t="normal">VLOOKUP(A23, 'Лист1'!$A$1:$C$25, 2, 0)</f>
        <v>4194303</v>
      </c>
      <c r="C23" s="1" t="n">
        <v>15690529804</v>
      </c>
    </row>
    <row outlineLevel="0" r="24">
      <c r="A24" s="0" t="n">
        <v>22</v>
      </c>
      <c r="B24" s="0" t="n">
        <f aca="false" ca="false" dt2D="false" dtr="false" t="normal">VLOOKUP(A24, 'Лист1'!$A$1:$C$25, 2, 0)</f>
        <v>8388607</v>
      </c>
      <c r="C24" s="1" t="n">
        <v>47071589413</v>
      </c>
    </row>
    <row outlineLevel="0" r="25">
      <c r="A25" s="0" t="n">
        <v>23</v>
      </c>
      <c r="B25" s="0" t="n">
        <f aca="false" ca="false" dt2D="false" dtr="false" t="normal">VLOOKUP(A25, 'Лист1'!$A$1:$C$25, 2, 0)</f>
        <v>16777215</v>
      </c>
      <c r="C25" s="1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882481437817809"/>
    <col bestFit="true" customWidth="true" max="3" min="2" outlineLevel="0" width="10.82039947917116"/>
    <col bestFit="true" customWidth="true" max="4" min="4" outlineLevel="0" width="12.949002655401552"/>
  </cols>
  <sheetData>
    <row outlineLevel="0" r="1">
      <c r="A1" s="0" t="s">
        <v>4</v>
      </c>
      <c r="B1" s="0" t="n">
        <v>11.5</v>
      </c>
      <c r="C1" s="0" t="n">
        <v>1398100.25</v>
      </c>
      <c r="D1" s="0" t="n">
        <v>8825923014.5</v>
      </c>
    </row>
    <row outlineLevel="0" r="2">
      <c r="A2" s="0" t="s">
        <v>5</v>
      </c>
      <c r="B2" s="0" t="n">
        <v>1398100.25</v>
      </c>
      <c r="C2" s="0" t="n">
        <v>1398100.25</v>
      </c>
      <c r="D2" s="0" t="n">
        <v>1398100.25</v>
      </c>
    </row>
    <row outlineLevel="0" r="3">
      <c r="A3" s="0" t="s">
        <v>6</v>
      </c>
      <c r="B3" s="0" t="n">
        <v>1</v>
      </c>
      <c r="C3" s="0" t="n">
        <v>1</v>
      </c>
      <c r="D3" s="0" t="n">
        <v>1</v>
      </c>
    </row>
    <row outlineLevel="0" r="4">
      <c r="A4" s="0" t="s">
        <v>7</v>
      </c>
      <c r="B4" s="0" t="n">
        <v>6143</v>
      </c>
      <c r="C4" s="0" t="n">
        <v>6143</v>
      </c>
      <c r="D4" s="0" t="n">
        <v>6143</v>
      </c>
    </row>
    <row outlineLevel="0" r="5">
      <c r="A5" s="0" t="s">
        <v>8</v>
      </c>
      <c r="B5" s="0" t="e">
        <v>#N/A</v>
      </c>
      <c r="C5" s="0" t="e">
        <v>#N/A</v>
      </c>
      <c r="D5" s="0" t="e">
        <v>#N/A</v>
      </c>
    </row>
    <row outlineLevel="0" r="6">
      <c r="A6" s="0" t="s">
        <v>9</v>
      </c>
      <c r="B6" s="0" t="s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6.363635563941688"/>
    <col customWidth="true" max="5" min="5" outlineLevel="0" width="24.707752057187644"/>
  </cols>
  <sheetData>
    <row outlineLevel="0" r="1">
      <c r="A1" s="2" t="s">
        <v>11</v>
      </c>
      <c r="B1" s="0" t="n">
        <v>2024</v>
      </c>
      <c r="C1" s="0" t="n">
        <v>2025</v>
      </c>
      <c r="D1" s="0" t="n">
        <v>2026</v>
      </c>
    </row>
    <row outlineLevel="0" r="2">
      <c r="A2" s="3" t="s">
        <v>12</v>
      </c>
      <c r="B2" s="1" t="n">
        <v>1200000</v>
      </c>
      <c r="C2" s="1" t="n">
        <v>1350000</v>
      </c>
      <c r="D2" s="1" t="n">
        <v>1500000</v>
      </c>
    </row>
    <row outlineLevel="0" r="3">
      <c r="A3" s="4" t="s">
        <v>13</v>
      </c>
      <c r="B3" s="1" t="n">
        <v>980000</v>
      </c>
      <c r="C3" s="1" t="n">
        <v>1100000</v>
      </c>
      <c r="D3" s="1" t="n">
        <v>1250000</v>
      </c>
    </row>
    <row outlineLevel="0" r="4">
      <c r="A4" s="0" t="s">
        <v>14</v>
      </c>
      <c r="B4" s="1" t="n">
        <v>750000</v>
      </c>
      <c r="C4" s="1" t="n">
        <v>820000</v>
      </c>
      <c r="D4" s="1" t="n">
        <v>900000</v>
      </c>
    </row>
    <row outlineLevel="0" r="5">
      <c r="A5" s="0" t="s">
        <v>15</v>
      </c>
      <c r="B5" s="1" t="n">
        <v>1100000</v>
      </c>
      <c r="C5" s="1" t="n">
        <v>1200000</v>
      </c>
      <c r="D5" s="1" t="n">
        <v>1300000</v>
      </c>
    </row>
    <row outlineLevel="0" r="6">
      <c r="A6" s="0" t="s">
        <v>16</v>
      </c>
      <c r="B6" s="0" t="n">
        <f aca="false" ca="false" dt2D="false" dtr="false" t="normal">SUM(B$1:B$5)</f>
        <v>4032024</v>
      </c>
      <c r="C6" s="0" t="n">
        <f aca="false" ca="false" dt2D="false" dtr="false" t="normal">SUM(C$1:C$5)</f>
        <v>4472025</v>
      </c>
      <c r="D6" s="0" t="n">
        <f aca="false" ca="false" dt2D="false" dtr="false" t="normal">SUM(D$1:D$5)</f>
        <v>4952026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2026-05-21T07:37:03Z</dcterms:created>
  <dcterms:modified xsi:type="dcterms:W3CDTF">2026-05-21T07:37:03Z</dcterms:modified>
</cp:coreProperties>
</file>